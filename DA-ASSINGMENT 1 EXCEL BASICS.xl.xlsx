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7480356-A930-4DD7-A611-BE889C38E53C}" xr6:coauthVersionLast="47" xr6:coauthVersionMax="47" xr10:uidLastSave="{00000000-0000-0000-0000-000000000000}"/>
  <bookViews>
    <workbookView xWindow="-108" yWindow="-108" windowWidth="23256" windowHeight="12456" xr2:uid="{09046BF0-43C6-4981-B8A7-FAEDDFF272E2}"/>
  </bookViews>
  <sheets>
    <sheet name="Sheet1" sheetId="1" r:id="rId1"/>
  </sheets>
  <calcPr calcId="191029"/>
  <pivotCaches>
    <pivotCache cacheId="14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B52" i="1"/>
  <c r="F57" i="1"/>
  <c r="H53" i="1"/>
  <c r="B53" i="1"/>
  <c r="E57" i="1" l="1"/>
  <c r="H52" i="1"/>
</calcChain>
</file>

<file path=xl/sharedStrings.xml><?xml version="1.0" encoding="utf-8"?>
<sst xmlns="http://schemas.openxmlformats.org/spreadsheetml/2006/main" count="174" uniqueCount="78">
  <si>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</si>
  <si>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</si>
  <si>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</si>
  <si>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</si>
  <si>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</si>
  <si>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</si>
  <si>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</si>
  <si>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</si>
  <si>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</si>
  <si>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</si>
  <si>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</si>
  <si>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</si>
  <si>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</si>
  <si>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</si>
  <si>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</si>
  <si>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</si>
  <si>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</si>
  <si>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</si>
  <si>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</si>
  <si>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</si>
  <si>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</si>
  <si>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</si>
  <si>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</si>
  <si>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</si>
  <si>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</si>
  <si>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</si>
  <si>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</si>
  <si>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</si>
  <si>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</si>
  <si>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</si>
  <si>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</si>
  <si>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</si>
  <si>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</si>
  <si>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</si>
  <si>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</si>
  <si>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</si>
  <si>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</si>
  <si>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</si>
  <si>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</si>
  <si>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</si>
  <si>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</si>
  <si>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</si>
  <si>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</si>
  <si>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</si>
  <si>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</si>
  <si>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</si>
  <si>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</si>
  <si>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</si>
  <si>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</si>
  <si>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</si>
  <si>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</si>
  <si>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</si>
  <si>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</si>
  <si>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</si>
  <si>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</si>
  <si>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</si>
  <si>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</si>
  <si>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</si>
  <si>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</si>
  <si>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</si>
  <si>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</si>
  <si>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</si>
  <si>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</si>
  <si>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</si>
  <si>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</si>
  <si>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</si>
  <si>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SALES</t>
  </si>
  <si>
    <t>total sales</t>
  </si>
  <si>
    <t>Calculate the total sales of Notebooks in the North region only.</t>
  </si>
  <si>
    <t>Row Labels</t>
  </si>
  <si>
    <t>Grand Total</t>
  </si>
  <si>
    <t>Sum of SALES</t>
  </si>
  <si>
    <t>LINE CHART</t>
  </si>
  <si>
    <t>4. Count how many customer names are recorded.</t>
  </si>
  <si>
    <t>5. Calculate the Total Sales for each row using a formula.</t>
  </si>
  <si>
    <t>6. Calculate the total sales of Notebooks in the North region only.</t>
  </si>
  <si>
    <t>7. Create a column chart showing total sales by product.</t>
  </si>
  <si>
    <t>8. Insert a line chart showing daily sales trend.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</si>
</sst>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2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[DA-ASSINGMENT 1 EXCEL BASICS.xl.xlsx]Sheet1!PivotTable4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Sheet1!$K$8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Sheet1!$J$9:$J$14</c:f>
              <c:strCache>
                <c:ptCount val="5"/>
                <c:pt idx="0">
                  <c:v>Eraser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  <c:pt idx="4">
                  <c:v>Pencil</c:v>
                </c:pt>
              </c:strCache>
            </c:strRef>
          </c:cat>
          <c:val>
            <c:numRef>
              <c:f>Sheet1!$K$9:$K$14</c:f>
              <c:numCache>
                <c:formatCode>General</c:formatCode>
                <c:ptCount val="5"/>
                <c:pt idx="0">
                  <c:v>1928</c:v>
                </c:pt>
                <c:pt idx="1">
                  <c:v>3650</c:v>
                </c:pt>
                <c:pt idx="2">
                  <c:v>7550</c:v>
                </c:pt>
                <c:pt idx="3">
                  <c:v>2180</c:v>
                </c:pt>
                <c:pt idx="4">
                  <c:v>1235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E5-4EE6-8F43-3E7929D6D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0861583"/>
        <c:axId val="830867343"/>
      </c:barChart>
      <c:catAx>
        <c:axId val="83086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867343"/>
        <c:crosses val="autoZero"/>
        <c:auto val="1"/>
        <c:lblAlgn val="ctr"/>
        <c:lblOffset val="100"/>
        <c:noMultiLvlLbl val="0"/>
      </c:catAx>
      <c:valAx>
        <c:axId val="83086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861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160020</xdr:colOff>
      <xdr:row>3</xdr:row>
      <xdr:rowOff>110490</xdr:rowOff>
    </xdr:from>
    <xdr:to>
      <xdr:col>18</xdr:col>
      <xdr:colOff>236220</xdr:colOff>
      <xdr:row>18</xdr:row>
      <xdr:rowOff>110490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0788B30-6339-A061-79B9-EC3DFAF7D4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68.842570370369" createdVersion="8" refreshedVersion="8" minRefreshableVersion="3" recordCount="52" xr:uid="{2ACB1143-3C84-4603-92E6-6C6767D8A40E}">
  <cacheSource type="worksheet">
    <worksheetSource name="Table1"/>
  </cacheSource>
  <cacheFields count="8">
    <cacheField name="OrderID" numFmtId="0">
      <sharedItems containsString="0" containsBlank="1" containsNumber="1" containsInteger="1" minValue="1001" maxValue="1050"/>
    </cacheField>
    <cacheField name="CustomerName" numFmtId="0">
      <sharedItems containsMixedTypes="1" containsNumber="1" containsInteger="1" minValue="50" maxValue="50"/>
    </cacheField>
    <cacheField name="Region" numFmtId="0">
      <sharedItems containsBlank="1"/>
    </cacheField>
    <cacheField name="Product" numFmtId="0">
      <sharedItems containsBlank="1" count="6">
        <s v="Notebook"/>
        <s v="Pen"/>
        <s v="Marker"/>
        <s v="Pencil"/>
        <s v="Eraser"/>
        <m/>
      </sharedItems>
    </cacheField>
    <cacheField name="Quantity" numFmtId="0">
      <sharedItems containsString="0" containsBlank="1" containsNumber="1" containsInteger="1" minValue="5" maxValue="40"/>
    </cacheField>
    <cacheField name="UnitPrice" numFmtId="0">
      <sharedItems containsString="0" containsBlank="1" containsNumber="1" containsInteger="1" minValue="5" maxValue="50"/>
    </cacheField>
    <cacheField name="OrderDate" numFmtId="0">
      <sharedItems containsDate="1" containsBlank="1" containsMixedTypes="1" minDate="2024-01-05T00:00:00" maxDate="2024-03-09T00:00:00"/>
    </cacheField>
    <cacheField name="SALES" numFmtId="0">
      <sharedItems containsMixedTypes="1" containsNumber="1" containsInteger="1" minValue="90" maxValue="165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n v="1001"/>
    <s v="Amit Sharma"/>
    <s v="North"/>
    <x v="0"/>
    <n v="10"/>
    <n v="50"/>
    <d v="2024-01-05T00:00:00"/>
    <n v="500"/>
  </r>
  <r>
    <n v="1002"/>
    <s v="Neha Verma"/>
    <s v="South"/>
    <x v="1"/>
    <n v="20"/>
    <n v="10"/>
    <d v="2024-01-06T00:00:00"/>
    <n v="200"/>
  </r>
  <r>
    <n v="1003"/>
    <s v="Rahul Singh"/>
    <s v="East"/>
    <x v="2"/>
    <n v="15"/>
    <n v="25"/>
    <d v="2024-01-07T00:00:00"/>
    <n v="375"/>
  </r>
  <r>
    <n v="1004"/>
    <s v="Pooja Mehta"/>
    <s v="West"/>
    <x v="0"/>
    <n v="5"/>
    <n v="50"/>
    <d v="2024-01-08T00:00:00"/>
    <n v="250"/>
  </r>
  <r>
    <n v="1005"/>
    <s v="Ankit Jain"/>
    <s v="North"/>
    <x v="3"/>
    <n v="30"/>
    <n v="5"/>
    <d v="2024-01-10T00:00:00"/>
    <n v="150"/>
  </r>
  <r>
    <n v="1006"/>
    <s v="Sneha Patel"/>
    <s v="South"/>
    <x v="0"/>
    <n v="12"/>
    <n v="50"/>
    <d v="2024-01-11T00:00:00"/>
    <n v="600"/>
  </r>
  <r>
    <n v="1007"/>
    <s v="Vikas Gupta"/>
    <s v="East"/>
    <x v="4"/>
    <n v="25"/>
    <n v="8"/>
    <d v="2024-01-13T00:00:00"/>
    <n v="200"/>
  </r>
  <r>
    <n v="1008"/>
    <s v="Meera Nair"/>
    <s v="West"/>
    <x v="1"/>
    <n v="18"/>
    <n v="10"/>
    <d v="2024-01-15T00:00:00"/>
    <n v="180"/>
  </r>
  <r>
    <n v="1009"/>
    <s v="Anjali Rao"/>
    <s v="North"/>
    <x v="2"/>
    <n v="22"/>
    <n v="25"/>
    <d v="2024-01-17T00:00:00"/>
    <n v="550"/>
  </r>
  <r>
    <n v="1010"/>
    <s v="Manoj Das"/>
    <s v="South"/>
    <x v="0"/>
    <n v="8"/>
    <n v="50"/>
    <d v="2024-01-18T00:00:00"/>
    <n v="400"/>
  </r>
  <r>
    <n v="1011"/>
    <s v="Ritika Sen"/>
    <s v="East"/>
    <x v="3"/>
    <n v="40"/>
    <n v="5"/>
    <d v="2024-01-19T00:00:00"/>
    <n v="200"/>
  </r>
  <r>
    <n v="1012"/>
    <s v="Karan Malhotra"/>
    <s v="West"/>
    <x v="4"/>
    <n v="35"/>
    <n v="8"/>
    <d v="2024-01-20T00:00:00"/>
    <n v="280"/>
  </r>
  <r>
    <n v="1013"/>
    <s v="Aryan Joshi"/>
    <s v="North"/>
    <x v="0"/>
    <n v="14"/>
    <n v="50"/>
    <d v="2024-01-22T00:00:00"/>
    <n v="700"/>
  </r>
  <r>
    <n v="1014"/>
    <s v="Divya Kapoor"/>
    <s v="South"/>
    <x v="1"/>
    <n v="28"/>
    <n v="10"/>
    <d v="2024-01-23T00:00:00"/>
    <n v="280"/>
  </r>
  <r>
    <n v="1015"/>
    <s v="Sahil Arora"/>
    <s v="East"/>
    <x v="2"/>
    <n v="12"/>
    <n v="25"/>
    <d v="2024-01-24T00:00:00"/>
    <n v="300"/>
  </r>
  <r>
    <n v="1016"/>
    <s v="Muskan Jain"/>
    <s v="West"/>
    <x v="3"/>
    <n v="25"/>
    <n v="5"/>
    <d v="2024-01-26T00:00:00"/>
    <n v="125"/>
  </r>
  <r>
    <n v="1017"/>
    <s v="Rohan Gupta"/>
    <s v="North"/>
    <x v="4"/>
    <n v="20"/>
    <n v="8"/>
    <d v="2024-01-28T00:00:00"/>
    <n v="160"/>
  </r>
  <r>
    <n v="1018"/>
    <s v="Nidhi Sharma"/>
    <s v="South"/>
    <x v="0"/>
    <n v="10"/>
    <n v="50"/>
    <d v="2024-01-29T00:00:00"/>
    <n v="500"/>
  </r>
  <r>
    <n v="1019"/>
    <s v="Tarun Verma"/>
    <s v="East"/>
    <x v="1"/>
    <n v="15"/>
    <n v="10"/>
    <d v="2024-01-30T00:00:00"/>
    <n v="150"/>
  </r>
  <r>
    <n v="1020"/>
    <s v="Simran Kaur"/>
    <s v="West"/>
    <x v="2"/>
    <n v="18"/>
    <n v="25"/>
    <d v="2024-02-01T00:00:00"/>
    <n v="450"/>
  </r>
  <r>
    <n v="1021"/>
    <s v="Deepak Rao"/>
    <s v="North"/>
    <x v="0"/>
    <n v="9"/>
    <n v="50"/>
    <d v="2024-02-02T00:00:00"/>
    <n v="450"/>
  </r>
  <r>
    <n v="1022"/>
    <s v="Payal Mehta"/>
    <s v="South"/>
    <x v="3"/>
    <n v="35"/>
    <n v="5"/>
    <d v="2024-02-03T00:00:00"/>
    <n v="175"/>
  </r>
  <r>
    <n v="1023"/>
    <s v="Aditya Singh"/>
    <s v="East"/>
    <x v="4"/>
    <n v="30"/>
    <n v="8"/>
    <d v="2024-02-04T00:00:00"/>
    <n v="240"/>
  </r>
  <r>
    <n v="1024"/>
    <s v="Shreya Nair"/>
    <s v="West"/>
    <x v="0"/>
    <n v="11"/>
    <n v="50"/>
    <d v="2024-02-06T00:00:00"/>
    <n v="550"/>
  </r>
  <r>
    <n v="1025"/>
    <s v="Sanjay Kumar"/>
    <s v="North"/>
    <x v="1"/>
    <n v="14"/>
    <n v="10"/>
    <d v="2024-02-07T00:00:00"/>
    <n v="140"/>
  </r>
  <r>
    <n v="1026"/>
    <s v="Aarti Sharma"/>
    <s v="South"/>
    <x v="2"/>
    <n v="16"/>
    <n v="25"/>
    <d v="2024-02-08T00:00:00"/>
    <n v="400"/>
  </r>
  <r>
    <n v="1027"/>
    <s v="Rajesh Patel"/>
    <s v="East"/>
    <x v="3"/>
    <n v="22"/>
    <n v="5"/>
    <d v="2024-02-09T00:00:00"/>
    <n v="110"/>
  </r>
  <r>
    <n v="1028"/>
    <s v="Preeti Joshi"/>
    <s v="West"/>
    <x v="4"/>
    <n v="27"/>
    <n v="8"/>
    <d v="2024-02-10T00:00:00"/>
    <n v="216"/>
  </r>
  <r>
    <n v="1029"/>
    <s v="Anurag Mishra"/>
    <s v="North"/>
    <x v="0"/>
    <n v="13"/>
    <n v="50"/>
    <d v="2024-02-12T00:00:00"/>
    <n v="650"/>
  </r>
  <r>
    <n v="1030"/>
    <s v="Sanya Kapoor"/>
    <s v="South"/>
    <x v="1"/>
    <n v="32"/>
    <n v="10"/>
    <d v="2024-02-13T00:00:00"/>
    <n v="320"/>
  </r>
  <r>
    <n v="1031"/>
    <s v="Harsh Yadav"/>
    <s v="East"/>
    <x v="2"/>
    <n v="10"/>
    <n v="25"/>
    <d v="2024-02-14T00:00:00"/>
    <n v="250"/>
  </r>
  <r>
    <n v="1032"/>
    <s v="Kajal Rani"/>
    <s v="West"/>
    <x v="3"/>
    <n v="18"/>
    <n v="5"/>
    <d v="2024-02-16T00:00:00"/>
    <n v="90"/>
  </r>
  <r>
    <n v="1033"/>
    <s v="Varun Sharma"/>
    <s v="North"/>
    <x v="4"/>
    <n v="22"/>
    <n v="8"/>
    <d v="2024-02-17T00:00:00"/>
    <n v="176"/>
  </r>
  <r>
    <n v="1034"/>
    <s v="Swati Arora"/>
    <s v="South"/>
    <x v="0"/>
    <n v="17"/>
    <n v="50"/>
    <d v="2024-02-18T00:00:00"/>
    <n v="850"/>
  </r>
  <r>
    <n v="1035"/>
    <s v="Akhil Jain"/>
    <s v="East"/>
    <x v="1"/>
    <n v="19"/>
    <n v="10"/>
    <d v="2024-02-19T00:00:00"/>
    <n v="190"/>
  </r>
  <r>
    <n v="1036"/>
    <s v="Priyanka Das"/>
    <s v="West"/>
    <x v="2"/>
    <n v="15"/>
    <n v="25"/>
    <d v="2024-02-21T00:00:00"/>
    <n v="375"/>
  </r>
  <r>
    <n v="1037"/>
    <s v="Ravi Nair"/>
    <s v="North"/>
    <x v="3"/>
    <n v="28"/>
    <n v="5"/>
    <d v="2024-02-22T00:00:00"/>
    <n v="140"/>
  </r>
  <r>
    <n v="1038"/>
    <s v="Komal Singh"/>
    <s v="South"/>
    <x v="4"/>
    <n v="24"/>
    <n v="8"/>
    <d v="2024-02-23T00:00:00"/>
    <n v="192"/>
  </r>
  <r>
    <n v="1039"/>
    <s v="Ayesha Khan"/>
    <s v="East"/>
    <x v="0"/>
    <n v="16"/>
    <n v="50"/>
    <d v="2024-02-25T00:00:00"/>
    <n v="800"/>
  </r>
  <r>
    <n v="1040"/>
    <s v="Arjun Mehta"/>
    <s v="West"/>
    <x v="1"/>
    <n v="27"/>
    <n v="10"/>
    <d v="2024-02-26T00:00:00"/>
    <n v="270"/>
  </r>
  <r>
    <n v="1041"/>
    <s v="Sonali Gupta"/>
    <s v="North"/>
    <x v="2"/>
    <n v="21"/>
    <n v="25"/>
    <d v="2024-02-27T00:00:00"/>
    <n v="525"/>
  </r>
  <r>
    <n v="1042"/>
    <s v="Neeraj Kapoor"/>
    <s v="South"/>
    <x v="3"/>
    <n v="30"/>
    <n v="5"/>
    <d v="2024-02-28T00:00:00"/>
    <n v="150"/>
  </r>
  <r>
    <n v="1043"/>
    <s v="Shruti Sharma"/>
    <s v="East"/>
    <x v="4"/>
    <n v="26"/>
    <n v="8"/>
    <d v="2024-03-01T00:00:00"/>
    <n v="208"/>
  </r>
  <r>
    <n v="1044"/>
    <s v="Yash Arora"/>
    <s v="West"/>
    <x v="0"/>
    <n v="14"/>
    <n v="50"/>
    <d v="2024-03-02T00:00:00"/>
    <n v="700"/>
  </r>
  <r>
    <n v="1045"/>
    <s v="Manish Das"/>
    <s v="North"/>
    <x v="1"/>
    <n v="20"/>
    <n v="10"/>
    <d v="2024-03-03T00:00:00"/>
    <n v="200"/>
  </r>
  <r>
    <n v="1046"/>
    <s v="Rupal Nair"/>
    <s v="South"/>
    <x v="2"/>
    <n v="17"/>
    <n v="25"/>
    <d v="2024-03-04T00:00:00"/>
    <n v="425"/>
  </r>
  <r>
    <n v="1047"/>
    <s v="Sonia Verma"/>
    <s v="East"/>
    <x v="3"/>
    <n v="19"/>
    <n v="5"/>
    <d v="2024-03-05T00:00:00"/>
    <n v="95"/>
  </r>
  <r>
    <n v="1048"/>
    <s v="Kunal Singh"/>
    <s v="West"/>
    <x v="4"/>
    <n v="32"/>
    <n v="8"/>
    <d v="2024-03-06T00:00:00"/>
    <n v="256"/>
  </r>
  <r>
    <n v="1049"/>
    <s v="Ritika Jain"/>
    <s v="North"/>
    <x v="0"/>
    <n v="12"/>
    <n v="50"/>
    <d v="2024-03-07T00:00:00"/>
    <n v="600"/>
  </r>
  <r>
    <n v="1050"/>
    <s v="Vivek Malhotra"/>
    <s v="South"/>
    <x v="1"/>
    <n v="25"/>
    <n v="10"/>
    <d v="2024-03-08T00:00:00"/>
    <n v="250"/>
  </r>
  <r>
    <m/>
    <n v="50"/>
    <m/>
    <x v="5"/>
    <m/>
    <m/>
    <s v="total sales"/>
    <n v="16543"/>
  </r>
  <r>
    <m/>
    <s v="=COUNTA(B2:B51)"/>
    <m/>
    <x v="5"/>
    <m/>
    <m/>
    <m/>
    <s v="=SUM(H2:H51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7D94A8-8B9C-4AE0-BEFE-68A07ADE5CE1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8:K14" firstHeaderRow="1" firstDataRow="1" firstDataCol="1"/>
  <pivotFields count="8">
    <pivotField showAll="0"/>
    <pivotField showAll="0"/>
    <pivotField showAll="0"/>
    <pivotField axis="axisRow" showAll="0">
      <items count="7">
        <item x="4"/>
        <item x="2"/>
        <item x="0"/>
        <item x="1"/>
        <item x="3"/>
        <item h="1" x="5"/>
        <item t="default"/>
      </items>
    </pivotField>
    <pivotField showAll="0"/>
    <pivotField showAll="0"/>
    <pivotField showAll="0"/>
    <pivotField dataFiel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7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709076-1759-41C1-A712-B6715FD8EAB7}" name="Table1" displayName="Table1" ref="A1:I53" totalsRowShown="0" headerRowDxfId="0">
  <autoFilter ref="A1:I53" xr:uid="{DB709076-1759-41C1-A712-B6715FD8EAB7}"/>
  <tableColumns count="9">
    <tableColumn id="1" xr3:uid="{DFAF98D8-5F1E-4EEA-8867-5B2B548FD130}" name="OrderID"/>
    <tableColumn id="2" xr3:uid="{BF1ECAE6-AB24-4B34-ACD8-0DD640E4017A}" name="CustomerName"/>
    <tableColumn id="3" xr3:uid="{C7AE84CD-87B3-45FD-89B4-BE3A645D9749}" name="Region"/>
    <tableColumn id="4" xr3:uid="{E531BE9F-929D-44C4-BE5B-2B8839F0C498}" name="Product"/>
    <tableColumn id="5" xr3:uid="{97A282B1-8ECC-44CC-9977-EE4ED8499974}" name="Quantity"/>
    <tableColumn id="6" xr3:uid="{6F875E60-9778-4AE5-A770-61620188E224}" name="UnitPrice"/>
    <tableColumn id="7" xr3:uid="{BC441013-FB38-4264-918F-4073F9446A28}" name="OrderDate" dataDxfId="1"/>
    <tableColumn id="8" xr3:uid="{44704076-5DD2-49ED-BD0B-D4451A39C13A}" name="SALES"/>
    <tableColumn id="9" xr3:uid="{253506E9-3BDB-4C2C-ACA0-024EA16B847C}" name="LINE CHAR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72F56-587C-44F8-B57A-8E87A4DBDDC0}">
  <dimension ref="A1:P57"/>
  <sheetViews>
    <sheetView tabSelected="1" workbookViewId="0">
      <selection activeCell="L45" sqref="L45"/>
    </sheetView>
  </sheetViews>
  <sheetFormatPr defaultRowHeight="14.4" x14ac:dyDescent="0.3"/>
  <cols>
    <col min="1" max="1" width="9.44140625" customWidth="1"/>
    <col min="2" max="2" width="16" customWidth="1"/>
    <col min="4" max="4" width="9.44140625" customWidth="1"/>
    <col min="5" max="5" width="10" customWidth="1"/>
    <col min="6" max="6" width="10.6640625" customWidth="1"/>
    <col min="7" max="7" width="13.109375" customWidth="1"/>
    <col min="9" max="9" width="22.88671875" customWidth="1"/>
    <col min="10" max="10" width="12.44140625" bestFit="1" customWidth="1"/>
    <col min="11" max="12" width="12.2187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66</v>
      </c>
      <c r="I1" s="2" t="s">
        <v>72</v>
      </c>
    </row>
    <row r="2" spans="1:11" x14ac:dyDescent="0.3">
      <c r="A2">
        <v>1001</v>
      </c>
      <c r="B2" t="s">
        <v>7</v>
      </c>
      <c r="C2" t="s">
        <v>8</v>
      </c>
      <c r="D2" t="s">
        <v>9</v>
      </c>
      <c r="E2">
        <v>10</v>
      </c>
      <c r="F2">
        <v>50</v>
      </c>
      <c r="G2" s="1">
        <v>45296</v>
      </c>
      <c r="H2">
        <f>E2*F2</f>
        <v>500</v>
      </c>
    </row>
    <row r="3" spans="1:11" x14ac:dyDescent="0.3">
      <c r="A3">
        <v>1002</v>
      </c>
      <c r="B3" t="s">
        <v>10</v>
      </c>
      <c r="C3" t="s">
        <v>11</v>
      </c>
      <c r="D3" t="s">
        <v>12</v>
      </c>
      <c r="E3">
        <v>20</v>
      </c>
      <c r="F3">
        <v>10</v>
      </c>
      <c r="G3" s="1">
        <v>45297</v>
      </c>
      <c r="H3">
        <f t="shared" ref="H3:H51" si="0">E3*F3</f>
        <v>200</v>
      </c>
      <c r="K3" t="s">
        <v>76</v>
      </c>
    </row>
    <row r="4" spans="1:11" x14ac:dyDescent="0.3">
      <c r="A4">
        <v>1003</v>
      </c>
      <c r="B4" t="s">
        <v>13</v>
      </c>
      <c r="C4" t="s">
        <v>14</v>
      </c>
      <c r="D4" t="s">
        <v>15</v>
      </c>
      <c r="E4">
        <v>15</v>
      </c>
      <c r="F4">
        <v>25</v>
      </c>
      <c r="G4" s="1">
        <v>45298</v>
      </c>
      <c r="H4">
        <f t="shared" si="0"/>
        <v>375</v>
      </c>
    </row>
    <row r="5" spans="1:11" x14ac:dyDescent="0.3">
      <c r="A5">
        <v>1004</v>
      </c>
      <c r="B5" t="s">
        <v>16</v>
      </c>
      <c r="C5" t="s">
        <v>17</v>
      </c>
      <c r="D5" t="s">
        <v>9</v>
      </c>
      <c r="E5">
        <v>5</v>
      </c>
      <c r="F5">
        <v>50</v>
      </c>
      <c r="G5" s="1">
        <v>45299</v>
      </c>
      <c r="H5">
        <f t="shared" si="0"/>
        <v>250</v>
      </c>
    </row>
    <row r="6" spans="1:11" x14ac:dyDescent="0.3">
      <c r="A6">
        <v>1005</v>
      </c>
      <c r="B6" t="s">
        <v>18</v>
      </c>
      <c r="C6" t="s">
        <v>8</v>
      </c>
      <c r="D6" t="s">
        <v>19</v>
      </c>
      <c r="E6">
        <v>30</v>
      </c>
      <c r="F6">
        <v>5</v>
      </c>
      <c r="G6" s="1">
        <v>45301</v>
      </c>
      <c r="H6">
        <f t="shared" si="0"/>
        <v>150</v>
      </c>
    </row>
    <row r="7" spans="1:11" x14ac:dyDescent="0.3">
      <c r="A7">
        <v>1006</v>
      </c>
      <c r="B7" t="s">
        <v>20</v>
      </c>
      <c r="C7" t="s">
        <v>11</v>
      </c>
      <c r="D7" t="s">
        <v>9</v>
      </c>
      <c r="E7">
        <v>12</v>
      </c>
      <c r="F7">
        <v>50</v>
      </c>
      <c r="G7" s="1">
        <v>45302</v>
      </c>
      <c r="H7">
        <f t="shared" si="0"/>
        <v>600</v>
      </c>
    </row>
    <row r="8" spans="1:11" x14ac:dyDescent="0.3">
      <c r="A8">
        <v>1007</v>
      </c>
      <c r="B8" t="s">
        <v>21</v>
      </c>
      <c r="C8" t="s">
        <v>14</v>
      </c>
      <c r="D8" t="s">
        <v>22</v>
      </c>
      <c r="E8">
        <v>25</v>
      </c>
      <c r="F8">
        <v>8</v>
      </c>
      <c r="G8" s="1">
        <v>45304</v>
      </c>
      <c r="H8">
        <f t="shared" si="0"/>
        <v>200</v>
      </c>
      <c r="J8" s="4" t="s">
        <v>69</v>
      </c>
      <c r="K8" t="s">
        <v>71</v>
      </c>
    </row>
    <row r="9" spans="1:11" x14ac:dyDescent="0.3">
      <c r="A9">
        <v>1008</v>
      </c>
      <c r="B9" t="s">
        <v>23</v>
      </c>
      <c r="C9" t="s">
        <v>17</v>
      </c>
      <c r="D9" t="s">
        <v>12</v>
      </c>
      <c r="E9">
        <v>18</v>
      </c>
      <c r="F9">
        <v>10</v>
      </c>
      <c r="G9" s="1">
        <v>45306</v>
      </c>
      <c r="H9">
        <f t="shared" si="0"/>
        <v>180</v>
      </c>
      <c r="J9" s="5" t="s">
        <v>22</v>
      </c>
      <c r="K9" s="6">
        <v>1928</v>
      </c>
    </row>
    <row r="10" spans="1:11" x14ac:dyDescent="0.3">
      <c r="A10">
        <v>1009</v>
      </c>
      <c r="B10" t="s">
        <v>24</v>
      </c>
      <c r="C10" t="s">
        <v>8</v>
      </c>
      <c r="D10" t="s">
        <v>15</v>
      </c>
      <c r="E10">
        <v>22</v>
      </c>
      <c r="F10">
        <v>25</v>
      </c>
      <c r="G10" s="1">
        <v>45308</v>
      </c>
      <c r="H10">
        <f t="shared" si="0"/>
        <v>550</v>
      </c>
      <c r="J10" s="5" t="s">
        <v>15</v>
      </c>
      <c r="K10" s="6">
        <v>3650</v>
      </c>
    </row>
    <row r="11" spans="1:11" x14ac:dyDescent="0.3">
      <c r="A11">
        <v>1010</v>
      </c>
      <c r="B11" t="s">
        <v>25</v>
      </c>
      <c r="C11" t="s">
        <v>11</v>
      </c>
      <c r="D11" t="s">
        <v>9</v>
      </c>
      <c r="E11">
        <v>8</v>
      </c>
      <c r="F11">
        <v>50</v>
      </c>
      <c r="G11" s="1">
        <v>45309</v>
      </c>
      <c r="H11">
        <f t="shared" si="0"/>
        <v>400</v>
      </c>
      <c r="J11" s="5" t="s">
        <v>9</v>
      </c>
      <c r="K11" s="6">
        <v>7550</v>
      </c>
    </row>
    <row r="12" spans="1:11" x14ac:dyDescent="0.3">
      <c r="A12">
        <v>1011</v>
      </c>
      <c r="B12" t="s">
        <v>26</v>
      </c>
      <c r="C12" t="s">
        <v>14</v>
      </c>
      <c r="D12" t="s">
        <v>19</v>
      </c>
      <c r="E12">
        <v>40</v>
      </c>
      <c r="F12">
        <v>5</v>
      </c>
      <c r="G12" s="1">
        <v>45310</v>
      </c>
      <c r="H12">
        <f t="shared" si="0"/>
        <v>200</v>
      </c>
      <c r="J12" s="5" t="s">
        <v>12</v>
      </c>
      <c r="K12" s="6">
        <v>2180</v>
      </c>
    </row>
    <row r="13" spans="1:11" x14ac:dyDescent="0.3">
      <c r="A13">
        <v>1012</v>
      </c>
      <c r="B13" t="s">
        <v>27</v>
      </c>
      <c r="C13" t="s">
        <v>17</v>
      </c>
      <c r="D13" t="s">
        <v>22</v>
      </c>
      <c r="E13">
        <v>35</v>
      </c>
      <c r="F13">
        <v>8</v>
      </c>
      <c r="G13" s="1">
        <v>45311</v>
      </c>
      <c r="H13">
        <f t="shared" si="0"/>
        <v>280</v>
      </c>
      <c r="J13" s="5" t="s">
        <v>19</v>
      </c>
      <c r="K13" s="6">
        <v>1235</v>
      </c>
    </row>
    <row r="14" spans="1:11" x14ac:dyDescent="0.3">
      <c r="A14">
        <v>1013</v>
      </c>
      <c r="B14" t="s">
        <v>28</v>
      </c>
      <c r="C14" t="s">
        <v>8</v>
      </c>
      <c r="D14" t="s">
        <v>9</v>
      </c>
      <c r="E14">
        <v>14</v>
      </c>
      <c r="F14">
        <v>50</v>
      </c>
      <c r="G14" s="1">
        <v>45313</v>
      </c>
      <c r="H14">
        <f t="shared" si="0"/>
        <v>700</v>
      </c>
      <c r="J14" s="5" t="s">
        <v>70</v>
      </c>
      <c r="K14" s="6">
        <v>16543</v>
      </c>
    </row>
    <row r="15" spans="1:11" x14ac:dyDescent="0.3">
      <c r="A15">
        <v>1014</v>
      </c>
      <c r="B15" t="s">
        <v>29</v>
      </c>
      <c r="C15" t="s">
        <v>11</v>
      </c>
      <c r="D15" t="s">
        <v>12</v>
      </c>
      <c r="E15">
        <v>28</v>
      </c>
      <c r="F15">
        <v>10</v>
      </c>
      <c r="G15" s="1">
        <v>45314</v>
      </c>
      <c r="H15">
        <f t="shared" si="0"/>
        <v>280</v>
      </c>
    </row>
    <row r="16" spans="1:11" x14ac:dyDescent="0.3">
      <c r="A16">
        <v>1015</v>
      </c>
      <c r="B16" t="s">
        <v>30</v>
      </c>
      <c r="C16" t="s">
        <v>14</v>
      </c>
      <c r="D16" t="s">
        <v>15</v>
      </c>
      <c r="E16">
        <v>12</v>
      </c>
      <c r="F16">
        <v>25</v>
      </c>
      <c r="G16" s="1">
        <v>45315</v>
      </c>
      <c r="H16">
        <f t="shared" si="0"/>
        <v>300</v>
      </c>
    </row>
    <row r="17" spans="1:8" x14ac:dyDescent="0.3">
      <c r="A17">
        <v>1016</v>
      </c>
      <c r="B17" t="s">
        <v>31</v>
      </c>
      <c r="C17" t="s">
        <v>17</v>
      </c>
      <c r="D17" t="s">
        <v>19</v>
      </c>
      <c r="E17">
        <v>25</v>
      </c>
      <c r="F17">
        <v>5</v>
      </c>
      <c r="G17" s="1">
        <v>45317</v>
      </c>
      <c r="H17">
        <f t="shared" si="0"/>
        <v>125</v>
      </c>
    </row>
    <row r="18" spans="1:8" x14ac:dyDescent="0.3">
      <c r="A18">
        <v>1017</v>
      </c>
      <c r="B18" t="s">
        <v>32</v>
      </c>
      <c r="C18" t="s">
        <v>8</v>
      </c>
      <c r="D18" t="s">
        <v>22</v>
      </c>
      <c r="E18">
        <v>20</v>
      </c>
      <c r="F18">
        <v>8</v>
      </c>
      <c r="G18" s="1">
        <v>45319</v>
      </c>
      <c r="H18">
        <f t="shared" si="0"/>
        <v>160</v>
      </c>
    </row>
    <row r="19" spans="1:8" x14ac:dyDescent="0.3">
      <c r="A19">
        <v>1018</v>
      </c>
      <c r="B19" t="s">
        <v>33</v>
      </c>
      <c r="C19" t="s">
        <v>11</v>
      </c>
      <c r="D19" t="s">
        <v>9</v>
      </c>
      <c r="E19">
        <v>10</v>
      </c>
      <c r="F19">
        <v>50</v>
      </c>
      <c r="G19" s="1">
        <v>45320</v>
      </c>
      <c r="H19">
        <f t="shared" si="0"/>
        <v>500</v>
      </c>
    </row>
    <row r="20" spans="1:8" x14ac:dyDescent="0.3">
      <c r="A20">
        <v>1019</v>
      </c>
      <c r="B20" t="s">
        <v>34</v>
      </c>
      <c r="C20" t="s">
        <v>14</v>
      </c>
      <c r="D20" t="s">
        <v>12</v>
      </c>
      <c r="E20">
        <v>15</v>
      </c>
      <c r="F20">
        <v>10</v>
      </c>
      <c r="G20" s="1">
        <v>45321</v>
      </c>
      <c r="H20">
        <f t="shared" si="0"/>
        <v>150</v>
      </c>
    </row>
    <row r="21" spans="1:8" x14ac:dyDescent="0.3">
      <c r="A21">
        <v>1020</v>
      </c>
      <c r="B21" t="s">
        <v>35</v>
      </c>
      <c r="C21" t="s">
        <v>17</v>
      </c>
      <c r="D21" t="s">
        <v>15</v>
      </c>
      <c r="E21">
        <v>18</v>
      </c>
      <c r="F21">
        <v>25</v>
      </c>
      <c r="G21" s="1">
        <v>45323</v>
      </c>
      <c r="H21">
        <f t="shared" si="0"/>
        <v>450</v>
      </c>
    </row>
    <row r="22" spans="1:8" x14ac:dyDescent="0.3">
      <c r="A22">
        <v>1021</v>
      </c>
      <c r="B22" t="s">
        <v>36</v>
      </c>
      <c r="C22" t="s">
        <v>8</v>
      </c>
      <c r="D22" t="s">
        <v>9</v>
      </c>
      <c r="E22">
        <v>9</v>
      </c>
      <c r="F22">
        <v>50</v>
      </c>
      <c r="G22" s="1">
        <v>45324</v>
      </c>
      <c r="H22">
        <f t="shared" si="0"/>
        <v>450</v>
      </c>
    </row>
    <row r="23" spans="1:8" x14ac:dyDescent="0.3">
      <c r="A23">
        <v>1022</v>
      </c>
      <c r="B23" t="s">
        <v>37</v>
      </c>
      <c r="C23" t="s">
        <v>11</v>
      </c>
      <c r="D23" t="s">
        <v>19</v>
      </c>
      <c r="E23">
        <v>35</v>
      </c>
      <c r="F23">
        <v>5</v>
      </c>
      <c r="G23" s="1">
        <v>45325</v>
      </c>
      <c r="H23">
        <f t="shared" si="0"/>
        <v>175</v>
      </c>
    </row>
    <row r="24" spans="1:8" x14ac:dyDescent="0.3">
      <c r="A24">
        <v>1023</v>
      </c>
      <c r="B24" t="s">
        <v>38</v>
      </c>
      <c r="C24" t="s">
        <v>14</v>
      </c>
      <c r="D24" t="s">
        <v>22</v>
      </c>
      <c r="E24">
        <v>30</v>
      </c>
      <c r="F24">
        <v>8</v>
      </c>
      <c r="G24" s="1">
        <v>45326</v>
      </c>
      <c r="H24">
        <f t="shared" si="0"/>
        <v>240</v>
      </c>
    </row>
    <row r="25" spans="1:8" x14ac:dyDescent="0.3">
      <c r="A25">
        <v>1024</v>
      </c>
      <c r="B25" t="s">
        <v>39</v>
      </c>
      <c r="C25" t="s">
        <v>17</v>
      </c>
      <c r="D25" t="s">
        <v>9</v>
      </c>
      <c r="E25">
        <v>11</v>
      </c>
      <c r="F25">
        <v>50</v>
      </c>
      <c r="G25" s="1">
        <v>45328</v>
      </c>
      <c r="H25">
        <f t="shared" si="0"/>
        <v>550</v>
      </c>
    </row>
    <row r="26" spans="1:8" x14ac:dyDescent="0.3">
      <c r="A26">
        <v>1025</v>
      </c>
      <c r="B26" t="s">
        <v>40</v>
      </c>
      <c r="C26" t="s">
        <v>8</v>
      </c>
      <c r="D26" t="s">
        <v>12</v>
      </c>
      <c r="E26">
        <v>14</v>
      </c>
      <c r="F26">
        <v>10</v>
      </c>
      <c r="G26" s="1">
        <v>45329</v>
      </c>
      <c r="H26">
        <f t="shared" si="0"/>
        <v>140</v>
      </c>
    </row>
    <row r="27" spans="1:8" x14ac:dyDescent="0.3">
      <c r="A27">
        <v>1026</v>
      </c>
      <c r="B27" t="s">
        <v>41</v>
      </c>
      <c r="C27" t="s">
        <v>11</v>
      </c>
      <c r="D27" t="s">
        <v>15</v>
      </c>
      <c r="E27">
        <v>16</v>
      </c>
      <c r="F27">
        <v>25</v>
      </c>
      <c r="G27" s="1">
        <v>45330</v>
      </c>
      <c r="H27">
        <f t="shared" si="0"/>
        <v>400</v>
      </c>
    </row>
    <row r="28" spans="1:8" x14ac:dyDescent="0.3">
      <c r="A28">
        <v>1027</v>
      </c>
      <c r="B28" t="s">
        <v>42</v>
      </c>
      <c r="C28" t="s">
        <v>14</v>
      </c>
      <c r="D28" t="s">
        <v>19</v>
      </c>
      <c r="E28">
        <v>22</v>
      </c>
      <c r="F28">
        <v>5</v>
      </c>
      <c r="G28" s="1">
        <v>45331</v>
      </c>
      <c r="H28">
        <f t="shared" si="0"/>
        <v>110</v>
      </c>
    </row>
    <row r="29" spans="1:8" x14ac:dyDescent="0.3">
      <c r="A29">
        <v>1028</v>
      </c>
      <c r="B29" t="s">
        <v>43</v>
      </c>
      <c r="C29" t="s">
        <v>17</v>
      </c>
      <c r="D29" t="s">
        <v>22</v>
      </c>
      <c r="E29">
        <v>27</v>
      </c>
      <c r="F29">
        <v>8</v>
      </c>
      <c r="G29" s="1">
        <v>45332</v>
      </c>
      <c r="H29">
        <f t="shared" si="0"/>
        <v>216</v>
      </c>
    </row>
    <row r="30" spans="1:8" x14ac:dyDescent="0.3">
      <c r="A30">
        <v>1029</v>
      </c>
      <c r="B30" t="s">
        <v>44</v>
      </c>
      <c r="C30" t="s">
        <v>8</v>
      </c>
      <c r="D30" t="s">
        <v>9</v>
      </c>
      <c r="E30">
        <v>13</v>
      </c>
      <c r="F30">
        <v>50</v>
      </c>
      <c r="G30" s="1">
        <v>45334</v>
      </c>
      <c r="H30">
        <f t="shared" si="0"/>
        <v>650</v>
      </c>
    </row>
    <row r="31" spans="1:8" x14ac:dyDescent="0.3">
      <c r="A31">
        <v>1030</v>
      </c>
      <c r="B31" t="s">
        <v>45</v>
      </c>
      <c r="C31" t="s">
        <v>11</v>
      </c>
      <c r="D31" t="s">
        <v>12</v>
      </c>
      <c r="E31">
        <v>32</v>
      </c>
      <c r="F31">
        <v>10</v>
      </c>
      <c r="G31" s="1">
        <v>45335</v>
      </c>
      <c r="H31">
        <f t="shared" si="0"/>
        <v>320</v>
      </c>
    </row>
    <row r="32" spans="1:8" x14ac:dyDescent="0.3">
      <c r="A32">
        <v>1031</v>
      </c>
      <c r="B32" t="s">
        <v>46</v>
      </c>
      <c r="C32" t="s">
        <v>14</v>
      </c>
      <c r="D32" t="s">
        <v>15</v>
      </c>
      <c r="E32">
        <v>10</v>
      </c>
      <c r="F32">
        <v>25</v>
      </c>
      <c r="G32" s="1">
        <v>45336</v>
      </c>
      <c r="H32">
        <f t="shared" si="0"/>
        <v>250</v>
      </c>
    </row>
    <row r="33" spans="1:16" x14ac:dyDescent="0.3">
      <c r="A33">
        <v>1032</v>
      </c>
      <c r="B33" t="s">
        <v>47</v>
      </c>
      <c r="C33" t="s">
        <v>17</v>
      </c>
      <c r="D33" t="s">
        <v>19</v>
      </c>
      <c r="E33">
        <v>18</v>
      </c>
      <c r="F33">
        <v>5</v>
      </c>
      <c r="G33" s="1">
        <v>45338</v>
      </c>
      <c r="H33">
        <f t="shared" si="0"/>
        <v>90</v>
      </c>
    </row>
    <row r="34" spans="1:16" x14ac:dyDescent="0.3">
      <c r="A34">
        <v>1033</v>
      </c>
      <c r="B34" t="s">
        <v>48</v>
      </c>
      <c r="C34" t="s">
        <v>8</v>
      </c>
      <c r="D34" t="s">
        <v>22</v>
      </c>
      <c r="E34">
        <v>22</v>
      </c>
      <c r="F34">
        <v>8</v>
      </c>
      <c r="G34" s="1">
        <v>45339</v>
      </c>
      <c r="H34">
        <f t="shared" si="0"/>
        <v>176</v>
      </c>
    </row>
    <row r="35" spans="1:16" x14ac:dyDescent="0.3">
      <c r="A35">
        <v>1034</v>
      </c>
      <c r="B35" t="s">
        <v>49</v>
      </c>
      <c r="C35" t="s">
        <v>11</v>
      </c>
      <c r="D35" t="s">
        <v>9</v>
      </c>
      <c r="E35">
        <v>17</v>
      </c>
      <c r="F35">
        <v>50</v>
      </c>
      <c r="G35" s="1">
        <v>45340</v>
      </c>
      <c r="H35">
        <f t="shared" si="0"/>
        <v>850</v>
      </c>
    </row>
    <row r="36" spans="1:16" x14ac:dyDescent="0.3">
      <c r="A36">
        <v>1035</v>
      </c>
      <c r="B36" t="s">
        <v>50</v>
      </c>
      <c r="C36" t="s">
        <v>14</v>
      </c>
      <c r="D36" t="s">
        <v>12</v>
      </c>
      <c r="E36">
        <v>19</v>
      </c>
      <c r="F36">
        <v>10</v>
      </c>
      <c r="G36" s="1">
        <v>45341</v>
      </c>
      <c r="H36">
        <f t="shared" si="0"/>
        <v>190</v>
      </c>
      <c r="K36" t="s">
        <v>73</v>
      </c>
      <c r="O36">
        <v>50</v>
      </c>
    </row>
    <row r="37" spans="1:16" x14ac:dyDescent="0.3">
      <c r="A37">
        <v>1036</v>
      </c>
      <c r="B37" t="s">
        <v>51</v>
      </c>
      <c r="C37" t="s">
        <v>17</v>
      </c>
      <c r="D37" t="s">
        <v>15</v>
      </c>
      <c r="E37">
        <v>15</v>
      </c>
      <c r="F37">
        <v>25</v>
      </c>
      <c r="G37" s="1">
        <v>45343</v>
      </c>
      <c r="H37">
        <f t="shared" si="0"/>
        <v>375</v>
      </c>
      <c r="K37" t="s">
        <v>74</v>
      </c>
      <c r="P37">
        <v>16543</v>
      </c>
    </row>
    <row r="38" spans="1:16" x14ac:dyDescent="0.3">
      <c r="A38">
        <v>1037</v>
      </c>
      <c r="B38" t="s">
        <v>52</v>
      </c>
      <c r="C38" t="s">
        <v>8</v>
      </c>
      <c r="D38" t="s">
        <v>19</v>
      </c>
      <c r="E38">
        <v>28</v>
      </c>
      <c r="F38">
        <v>5</v>
      </c>
      <c r="G38" s="1">
        <v>45344</v>
      </c>
      <c r="H38">
        <f t="shared" si="0"/>
        <v>140</v>
      </c>
      <c r="K38" t="s">
        <v>75</v>
      </c>
      <c r="P38">
        <v>2900</v>
      </c>
    </row>
    <row r="39" spans="1:16" x14ac:dyDescent="0.3">
      <c r="A39">
        <v>1038</v>
      </c>
      <c r="B39" t="s">
        <v>53</v>
      </c>
      <c r="C39" t="s">
        <v>11</v>
      </c>
      <c r="D39" t="s">
        <v>22</v>
      </c>
      <c r="E39">
        <v>24</v>
      </c>
      <c r="F39">
        <v>8</v>
      </c>
      <c r="G39" s="1">
        <v>45345</v>
      </c>
      <c r="H39">
        <f t="shared" si="0"/>
        <v>192</v>
      </c>
      <c r="K39" t="s">
        <v>77</v>
      </c>
    </row>
    <row r="40" spans="1:16" x14ac:dyDescent="0.3">
      <c r="A40">
        <v>1039</v>
      </c>
      <c r="B40" t="s">
        <v>54</v>
      </c>
      <c r="C40" t="s">
        <v>14</v>
      </c>
      <c r="D40" t="s">
        <v>9</v>
      </c>
      <c r="E40">
        <v>16</v>
      </c>
      <c r="F40">
        <v>50</v>
      </c>
      <c r="G40" s="1">
        <v>45347</v>
      </c>
      <c r="H40">
        <f t="shared" si="0"/>
        <v>800</v>
      </c>
    </row>
    <row r="41" spans="1:16" x14ac:dyDescent="0.3">
      <c r="A41">
        <v>1040</v>
      </c>
      <c r="B41" t="s">
        <v>55</v>
      </c>
      <c r="C41" t="s">
        <v>17</v>
      </c>
      <c r="D41" t="s">
        <v>12</v>
      </c>
      <c r="E41">
        <v>27</v>
      </c>
      <c r="F41">
        <v>10</v>
      </c>
      <c r="G41" s="1">
        <v>45348</v>
      </c>
      <c r="H41">
        <f t="shared" si="0"/>
        <v>270</v>
      </c>
    </row>
    <row r="42" spans="1:16" x14ac:dyDescent="0.3">
      <c r="A42">
        <v>1041</v>
      </c>
      <c r="B42" t="s">
        <v>56</v>
      </c>
      <c r="C42" t="s">
        <v>8</v>
      </c>
      <c r="D42" t="s">
        <v>15</v>
      </c>
      <c r="E42">
        <v>21</v>
      </c>
      <c r="F42">
        <v>25</v>
      </c>
      <c r="G42" s="1">
        <v>45349</v>
      </c>
      <c r="H42">
        <f t="shared" si="0"/>
        <v>525</v>
      </c>
    </row>
    <row r="43" spans="1:16" x14ac:dyDescent="0.3">
      <c r="A43">
        <v>1042</v>
      </c>
      <c r="B43" t="s">
        <v>57</v>
      </c>
      <c r="C43" t="s">
        <v>11</v>
      </c>
      <c r="D43" t="s">
        <v>19</v>
      </c>
      <c r="E43">
        <v>30</v>
      </c>
      <c r="F43">
        <v>5</v>
      </c>
      <c r="G43" s="1">
        <v>45350</v>
      </c>
      <c r="H43">
        <f t="shared" si="0"/>
        <v>150</v>
      </c>
    </row>
    <row r="44" spans="1:16" x14ac:dyDescent="0.3">
      <c r="A44">
        <v>1043</v>
      </c>
      <c r="B44" t="s">
        <v>58</v>
      </c>
      <c r="C44" t="s">
        <v>14</v>
      </c>
      <c r="D44" t="s">
        <v>22</v>
      </c>
      <c r="E44">
        <v>26</v>
      </c>
      <c r="F44">
        <v>8</v>
      </c>
      <c r="G44" s="1">
        <v>45352</v>
      </c>
      <c r="H44">
        <f t="shared" si="0"/>
        <v>208</v>
      </c>
    </row>
    <row r="45" spans="1:16" x14ac:dyDescent="0.3">
      <c r="A45">
        <v>1044</v>
      </c>
      <c r="B45" t="s">
        <v>59</v>
      </c>
      <c r="C45" t="s">
        <v>17</v>
      </c>
      <c r="D45" t="s">
        <v>9</v>
      </c>
      <c r="E45">
        <v>14</v>
      </c>
      <c r="F45">
        <v>50</v>
      </c>
      <c r="G45" s="1">
        <v>45353</v>
      </c>
      <c r="H45">
        <f t="shared" si="0"/>
        <v>700</v>
      </c>
    </row>
    <row r="46" spans="1:16" x14ac:dyDescent="0.3">
      <c r="A46">
        <v>1045</v>
      </c>
      <c r="B46" t="s">
        <v>60</v>
      </c>
      <c r="C46" t="s">
        <v>8</v>
      </c>
      <c r="D46" t="s">
        <v>12</v>
      </c>
      <c r="E46">
        <v>20</v>
      </c>
      <c r="F46">
        <v>10</v>
      </c>
      <c r="G46" s="1">
        <v>45354</v>
      </c>
      <c r="H46">
        <f t="shared" si="0"/>
        <v>200</v>
      </c>
    </row>
    <row r="47" spans="1:16" x14ac:dyDescent="0.3">
      <c r="A47">
        <v>1046</v>
      </c>
      <c r="B47" t="s">
        <v>61</v>
      </c>
      <c r="C47" t="s">
        <v>11</v>
      </c>
      <c r="D47" t="s">
        <v>15</v>
      </c>
      <c r="E47">
        <v>17</v>
      </c>
      <c r="F47">
        <v>25</v>
      </c>
      <c r="G47" s="1">
        <v>45355</v>
      </c>
      <c r="H47">
        <f t="shared" si="0"/>
        <v>425</v>
      </c>
    </row>
    <row r="48" spans="1:16" x14ac:dyDescent="0.3">
      <c r="A48">
        <v>1047</v>
      </c>
      <c r="B48" t="s">
        <v>62</v>
      </c>
      <c r="C48" t="s">
        <v>14</v>
      </c>
      <c r="D48" t="s">
        <v>19</v>
      </c>
      <c r="E48">
        <v>19</v>
      </c>
      <c r="F48">
        <v>5</v>
      </c>
      <c r="G48" s="1">
        <v>45356</v>
      </c>
      <c r="H48">
        <f t="shared" si="0"/>
        <v>95</v>
      </c>
    </row>
    <row r="49" spans="1:10" x14ac:dyDescent="0.3">
      <c r="A49">
        <v>1048</v>
      </c>
      <c r="B49" t="s">
        <v>63</v>
      </c>
      <c r="C49" t="s">
        <v>17</v>
      </c>
      <c r="D49" t="s">
        <v>22</v>
      </c>
      <c r="E49">
        <v>32</v>
      </c>
      <c r="F49">
        <v>8</v>
      </c>
      <c r="G49" s="1">
        <v>45357</v>
      </c>
      <c r="H49">
        <f t="shared" si="0"/>
        <v>256</v>
      </c>
    </row>
    <row r="50" spans="1:10" x14ac:dyDescent="0.3">
      <c r="A50">
        <v>1049</v>
      </c>
      <c r="B50" t="s">
        <v>64</v>
      </c>
      <c r="C50" t="s">
        <v>8</v>
      </c>
      <c r="D50" t="s">
        <v>9</v>
      </c>
      <c r="E50">
        <v>12</v>
      </c>
      <c r="F50">
        <v>50</v>
      </c>
      <c r="G50" s="1">
        <v>45358</v>
      </c>
      <c r="H50">
        <f t="shared" si="0"/>
        <v>600</v>
      </c>
    </row>
    <row r="51" spans="1:10" x14ac:dyDescent="0.3">
      <c r="A51">
        <v>1050</v>
      </c>
      <c r="B51" t="s">
        <v>65</v>
      </c>
      <c r="C51" t="s">
        <v>11</v>
      </c>
      <c r="D51" t="s">
        <v>12</v>
      </c>
      <c r="E51">
        <v>25</v>
      </c>
      <c r="F51">
        <v>10</v>
      </c>
      <c r="G51" s="1">
        <v>45359</v>
      </c>
      <c r="H51">
        <f t="shared" si="0"/>
        <v>250</v>
      </c>
    </row>
    <row r="52" spans="1:10" x14ac:dyDescent="0.3">
      <c r="B52" s="3">
        <f>COUNTA(B2:B51)</f>
        <v>50</v>
      </c>
      <c r="C52" s="3"/>
      <c r="G52" s="3" t="s">
        <v>67</v>
      </c>
      <c r="H52" s="3">
        <f>SUM(H2:H51)</f>
        <v>16543</v>
      </c>
    </row>
    <row r="53" spans="1:10" x14ac:dyDescent="0.3">
      <c r="B53" s="3" t="str">
        <f ca="1">_xlfn.FORMULATEXT(B52)</f>
        <v>=COUNTA(B2:B51)</v>
      </c>
      <c r="C53" s="3"/>
      <c r="H53" s="3" t="str">
        <f ca="1">_xlfn.FORMULATEXT(H52)</f>
        <v>=SUM(H2:H51)</v>
      </c>
      <c r="I53" s="3"/>
    </row>
    <row r="56" spans="1:10" x14ac:dyDescent="0.3">
      <c r="D56" t="s">
        <v>68</v>
      </c>
    </row>
    <row r="57" spans="1:10" x14ac:dyDescent="0.3">
      <c r="E57" s="3">
        <f>SUMIFS(H2:H51,D2:D51,"notebook",C2:C51,"north")</f>
        <v>2900</v>
      </c>
      <c r="F57" s="3" t="str">
        <f ca="1">_xlfn.FORMULATEXT(E57)</f>
        <v>=SUMIFS(H2:H51,D2:D51,"notebook",C2:C51,"north")</v>
      </c>
      <c r="G57" s="3"/>
      <c r="H57" s="3"/>
      <c r="I57" s="3"/>
      <c r="J57" s="3"/>
    </row>
  </sheetData>
  <pageMargins left="0.7" right="0.7" top="0.75" bottom="0.75" header="0.3" footer="0.3"/>
  <drawing r:id="rId2"/>
  <tableParts count="1">
    <tablePart r:id="rId3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DD704D8E-4A53-4FF6-BF7D-CFF89103D3E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Sheet1!H2:H51</xm:f>
              <xm:sqref>I2</xm:sqref>
            </x14:sparkline>
            <x14:sparkline>
              <xm:f>Sheet1!H3:H52</xm:f>
              <xm:sqref>I3</xm:sqref>
            </x14:sparkline>
            <x14:sparkline>
              <xm:f>Sheet1!H4:H53</xm:f>
              <xm:sqref>I4</xm:sqref>
            </x14:sparkline>
            <x14:sparkline>
              <xm:f>Sheet1!H5:H54</xm:f>
              <xm:sqref>I5</xm:sqref>
            </x14:sparkline>
            <x14:sparkline>
              <xm:f>Sheet1!H6:H55</xm:f>
              <xm:sqref>I6</xm:sqref>
            </x14:sparkline>
            <x14:sparkline>
              <xm:f>Sheet1!H7:H56</xm:f>
              <xm:sqref>I7</xm:sqref>
            </x14:sparkline>
            <x14:sparkline>
              <xm:f>Sheet1!H8:H57</xm:f>
              <xm:sqref>I8</xm:sqref>
            </x14:sparkline>
            <x14:sparkline>
              <xm:f>Sheet1!H9:H58</xm:f>
              <xm:sqref>I9</xm:sqref>
            </x14:sparkline>
            <x14:sparkline>
              <xm:f>Sheet1!H10:H59</xm:f>
              <xm:sqref>I10</xm:sqref>
            </x14:sparkline>
            <x14:sparkline>
              <xm:f>Sheet1!H11:H60</xm:f>
              <xm:sqref>I11</xm:sqref>
            </x14:sparkline>
            <x14:sparkline>
              <xm:f>Sheet1!H12:H61</xm:f>
              <xm:sqref>I12</xm:sqref>
            </x14:sparkline>
            <x14:sparkline>
              <xm:f>Sheet1!H13:H62</xm:f>
              <xm:sqref>I13</xm:sqref>
            </x14:sparkline>
            <x14:sparkline>
              <xm:f>Sheet1!H14:H63</xm:f>
              <xm:sqref>I14</xm:sqref>
            </x14:sparkline>
            <x14:sparkline>
              <xm:f>Sheet1!H15:H64</xm:f>
              <xm:sqref>I15</xm:sqref>
            </x14:sparkline>
            <x14:sparkline>
              <xm:f>Sheet1!H16:H65</xm:f>
              <xm:sqref>I16</xm:sqref>
            </x14:sparkline>
            <x14:sparkline>
              <xm:f>Sheet1!H17:H66</xm:f>
              <xm:sqref>I17</xm:sqref>
            </x14:sparkline>
            <x14:sparkline>
              <xm:f>Sheet1!H18:H67</xm:f>
              <xm:sqref>I18</xm:sqref>
            </x14:sparkline>
            <x14:sparkline>
              <xm:f>Sheet1!H19:H68</xm:f>
              <xm:sqref>I19</xm:sqref>
            </x14:sparkline>
            <x14:sparkline>
              <xm:f>Sheet1!H20:H69</xm:f>
              <xm:sqref>I20</xm:sqref>
            </x14:sparkline>
            <x14:sparkline>
              <xm:f>Sheet1!H21:H70</xm:f>
              <xm:sqref>I21</xm:sqref>
            </x14:sparkline>
            <x14:sparkline>
              <xm:f>Sheet1!H22:H71</xm:f>
              <xm:sqref>I22</xm:sqref>
            </x14:sparkline>
            <x14:sparkline>
              <xm:f>Sheet1!H23:H72</xm:f>
              <xm:sqref>I23</xm:sqref>
            </x14:sparkline>
            <x14:sparkline>
              <xm:f>Sheet1!H24:H73</xm:f>
              <xm:sqref>I24</xm:sqref>
            </x14:sparkline>
            <x14:sparkline>
              <xm:f>Sheet1!H25:H74</xm:f>
              <xm:sqref>I25</xm:sqref>
            </x14:sparkline>
            <x14:sparkline>
              <xm:f>Sheet1!H26:H75</xm:f>
              <xm:sqref>I26</xm:sqref>
            </x14:sparkline>
            <x14:sparkline>
              <xm:f>Sheet1!H27:H76</xm:f>
              <xm:sqref>I27</xm:sqref>
            </x14:sparkline>
            <x14:sparkline>
              <xm:f>Sheet1!H28:H77</xm:f>
              <xm:sqref>I28</xm:sqref>
            </x14:sparkline>
            <x14:sparkline>
              <xm:f>Sheet1!H29:H78</xm:f>
              <xm:sqref>I29</xm:sqref>
            </x14:sparkline>
            <x14:sparkline>
              <xm:f>Sheet1!H30:H79</xm:f>
              <xm:sqref>I30</xm:sqref>
            </x14:sparkline>
            <x14:sparkline>
              <xm:f>Sheet1!H31:H80</xm:f>
              <xm:sqref>I31</xm:sqref>
            </x14:sparkline>
            <x14:sparkline>
              <xm:f>Sheet1!H32:H81</xm:f>
              <xm:sqref>I32</xm:sqref>
            </x14:sparkline>
            <x14:sparkline>
              <xm:f>Sheet1!H33:H82</xm:f>
              <xm:sqref>I33</xm:sqref>
            </x14:sparkline>
            <x14:sparkline>
              <xm:f>Sheet1!H34:H83</xm:f>
              <xm:sqref>I34</xm:sqref>
            </x14:sparkline>
            <x14:sparkline>
              <xm:f>Sheet1!H35:H84</xm:f>
              <xm:sqref>I35</xm:sqref>
            </x14:sparkline>
            <x14:sparkline>
              <xm:f>Sheet1!H36:H85</xm:f>
              <xm:sqref>I36</xm:sqref>
            </x14:sparkline>
            <x14:sparkline>
              <xm:f>Sheet1!H37:H86</xm:f>
              <xm:sqref>I37</xm:sqref>
            </x14:sparkline>
            <x14:sparkline>
              <xm:f>Sheet1!H38:H87</xm:f>
              <xm:sqref>I38</xm:sqref>
            </x14:sparkline>
            <x14:sparkline>
              <xm:f>Sheet1!H39:H88</xm:f>
              <xm:sqref>I39</xm:sqref>
            </x14:sparkline>
            <x14:sparkline>
              <xm:f>Sheet1!H40:H89</xm:f>
              <xm:sqref>I40</xm:sqref>
            </x14:sparkline>
            <x14:sparkline>
              <xm:f>Sheet1!H41:H90</xm:f>
              <xm:sqref>I41</xm:sqref>
            </x14:sparkline>
            <x14:sparkline>
              <xm:f>Sheet1!H42:H91</xm:f>
              <xm:sqref>I42</xm:sqref>
            </x14:sparkline>
            <x14:sparkline>
              <xm:f>Sheet1!H43:H92</xm:f>
              <xm:sqref>I43</xm:sqref>
            </x14:sparkline>
            <x14:sparkline>
              <xm:f>Sheet1!H44:H93</xm:f>
              <xm:sqref>I44</xm:sqref>
            </x14:sparkline>
            <x14:sparkline>
              <xm:f>Sheet1!H45:H94</xm:f>
              <xm:sqref>I45</xm:sqref>
            </x14:sparkline>
            <x14:sparkline>
              <xm:f>Sheet1!H46:H95</xm:f>
              <xm:sqref>I46</xm:sqref>
            </x14:sparkline>
            <x14:sparkline>
              <xm:f>Sheet1!H47:H96</xm:f>
              <xm:sqref>I47</xm:sqref>
            </x14:sparkline>
            <x14:sparkline>
              <xm:f>Sheet1!H48:H97</xm:f>
              <xm:sqref>I48</xm:sqref>
            </x14:sparkline>
            <x14:sparkline>
              <xm:f>Sheet1!H49:H98</xm:f>
              <xm:sqref>I49</xm:sqref>
            </x14:sparkline>
            <x14:sparkline>
              <xm:f>Sheet1!H50:H99</xm:f>
              <xm:sqref>I50</xm:sqref>
            </x14:sparkline>
            <x14:sparkline>
              <xm:f>Sheet1!H51:H100</xm:f>
              <xm:sqref>I51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Ganta Meghana</dc:creator>
  <cp:lastModifiedBy>Ganta Meghana</cp:lastModifiedBy>
  <dcterms:created xsi:type="dcterms:W3CDTF">2026-02-15T13:31:43Z</dcterms:created>
  <dcterms:modified xsi:type="dcterms:W3CDTF">2026-02-15T15:03:24Z</dcterms:modified>
</cp:coreProperties>
</file>